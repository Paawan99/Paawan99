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tform Overview" sheetId="1" state="visible" r:id="rId3"/>
    <sheet name="Tax Analysis" sheetId="2" state="visible" r:id="rId4"/>
    <sheet name="Arbitrage Calculator" sheetId="3" state="visible" r:id="rId5"/>
    <sheet name="Fee Comparison" sheetId="4" state="visible" r:id="rId6"/>
    <sheet name="Multi-Outcome Arbitrag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<sst xmlns="http://schemas.openxmlformats.org/spreadsheetml/2006/main" count="313" uniqueCount="195">
  <si>
    <t xml:space="preserve">Platform Name</t>
  </si>
  <si>
    <t xml:space="preserve">Type</t>
  </si>
  <si>
    <t xml:space="preserve">Provinces Available</t>
  </si>
  <si>
    <t xml:space="preserve">Regulator/License</t>
  </si>
  <si>
    <t xml:space="preserve">Min Deposit (CAD)</t>
  </si>
  <si>
    <t xml:space="preserve">Max Deposit (CAD)</t>
  </si>
  <si>
    <t xml:space="preserve">Min Withdrawal (CAD)</t>
  </si>
  <si>
    <t xml:space="preserve">Max Withdrawal (CAD)</t>
  </si>
  <si>
    <t xml:space="preserve">Deposit Fee (%)</t>
  </si>
  <si>
    <t xml:space="preserve">Withdrawal Fee (%)</t>
  </si>
  <si>
    <t xml:space="preserve">Deposit Methods</t>
  </si>
  <si>
    <t xml:space="preserve">Withdrawal Processing Time</t>
  </si>
  <si>
    <t xml:space="preserve">Currency</t>
  </si>
  <si>
    <t xml:space="preserve">Notes</t>
  </si>
  <si>
    <t xml:space="preserve">bet365</t>
  </si>
  <si>
    <t xml:space="preserve">Private/AGCO</t>
  </si>
  <si>
    <t xml:space="preserve">Ontario</t>
  </si>
  <si>
    <t xml:space="preserve">AGCO (Ontario Gambling Commission)</t>
  </si>
  <si>
    <t xml:space="preserve">Interac, Credit Card</t>
  </si>
  <si>
    <t xml:space="preserve">1-24 hours</t>
  </si>
  <si>
    <t xml:space="preserve">CAD</t>
  </si>
  <si>
    <t xml:space="preserve">Major international platform</t>
  </si>
  <si>
    <t xml:space="preserve">FanDuel</t>
  </si>
  <si>
    <t xml:space="preserve">AGCO</t>
  </si>
  <si>
    <t xml:space="preserve">~2 hours</t>
  </si>
  <si>
    <t xml:space="preserve">Fast withdrawals</t>
  </si>
  <si>
    <t xml:space="preserve">DraftKings</t>
  </si>
  <si>
    <t xml:space="preserve">1-5 business days</t>
  </si>
  <si>
    <t xml:space="preserve">DFS and sports</t>
  </si>
  <si>
    <t xml:space="preserve">BetMGM</t>
  </si>
  <si>
    <t xml:space="preserve">Up to 5 business days</t>
  </si>
  <si>
    <t xml:space="preserve">Strong promotions</t>
  </si>
  <si>
    <t xml:space="preserve">PointsBet</t>
  </si>
  <si>
    <t xml:space="preserve">1-3 business days</t>
  </si>
  <si>
    <t xml:space="preserve">Unique props</t>
  </si>
  <si>
    <t xml:space="preserve">Betway</t>
  </si>
  <si>
    <t xml:space="preserve">Interac, Credit Card, PayPal</t>
  </si>
  <si>
    <t xml:space="preserve">24-48 hours</t>
  </si>
  <si>
    <t xml:space="preserve">International option</t>
  </si>
  <si>
    <t xml:space="preserve">BetRivers</t>
  </si>
  <si>
    <t xml:space="preserve">Good limits</t>
  </si>
  <si>
    <t xml:space="preserve">TonyBet</t>
  </si>
  <si>
    <t xml:space="preserve">Estonia-based</t>
  </si>
  <si>
    <t xml:space="preserve">Betano</t>
  </si>
  <si>
    <t xml:space="preserve">Growing platform</t>
  </si>
  <si>
    <t xml:space="preserve">Caesars</t>
  </si>
  <si>
    <t xml:space="preserve">US-based operator</t>
  </si>
  <si>
    <t xml:space="preserve">OLG Proline+</t>
  </si>
  <si>
    <t xml:space="preserve">Provincial</t>
  </si>
  <si>
    <t xml:space="preserve">OLG (Ontario Lottery)</t>
  </si>
  <si>
    <t xml:space="preserve">Cash, Card, Online</t>
  </si>
  <si>
    <t xml:space="preserve">Government-operated</t>
  </si>
  <si>
    <t xml:space="preserve">PlayNow/BCLC</t>
  </si>
  <si>
    <t xml:space="preserve">British Columbia</t>
  </si>
  <si>
    <t xml:space="preserve">BCLC (BC Lottery Corp)</t>
  </si>
  <si>
    <t xml:space="preserve">EFT, Credit Card</t>
  </si>
  <si>
    <t xml:space="preserve">2-5 business days</t>
  </si>
  <si>
    <t xml:space="preserve">BC's only legal platform</t>
  </si>
  <si>
    <t xml:space="preserve">Mise-o-Jeu</t>
  </si>
  <si>
    <t xml:space="preserve">Quebec</t>
  </si>
  <si>
    <t xml:space="preserve">Loto-Quebec</t>
  </si>
  <si>
    <t xml:space="preserve">Card, EFT</t>
  </si>
  <si>
    <t xml:space="preserve">Quebec government</t>
  </si>
  <si>
    <t xml:space="preserve">Sport Select</t>
  </si>
  <si>
    <t xml:space="preserve">MB/SK/AB/Atlantic</t>
  </si>
  <si>
    <t xml:space="preserve">Provincial Lotteries</t>
  </si>
  <si>
    <t xml:space="preserve">In-store/Online</t>
  </si>
  <si>
    <t xml:space="preserve">Western/Atlantic Canada</t>
  </si>
  <si>
    <t xml:space="preserve">Pinnacle</t>
  </si>
  <si>
    <t xml:space="preserve">Offshore-Licensed</t>
  </si>
  <si>
    <t xml:space="preserve">Canada-wide</t>
  </si>
  <si>
    <t xml:space="preserve">Curacao License</t>
  </si>
  <si>
    <t xml:space="preserve">Bitcoin, Wire, e-Wallet</t>
  </si>
  <si>
    <t xml:space="preserve">Multi</t>
  </si>
  <si>
    <t xml:space="preserve">Best odds, low limits</t>
  </si>
  <si>
    <t xml:space="preserve">CANADIAN GAMBLING TAX ANALYSIS</t>
  </si>
  <si>
    <t xml:space="preserve">CASUAL GAMBLER</t>
  </si>
  <si>
    <t xml:space="preserve">Net winnings from gambling are TAX FREE for Canadian residents (unless deemed as business income)</t>
  </si>
  <si>
    <t xml:space="preserve">PROFESSIONAL GAMBLER - FEDERAL TAX BRACKETS (2024)</t>
  </si>
  <si>
    <t xml:space="preserve">Income Range</t>
  </si>
  <si>
    <t xml:space="preserve">Rate</t>
  </si>
  <si>
    <t xml:space="preserve">Description</t>
  </si>
  <si>
    <t xml:space="preserve">$0 - $55,867</t>
  </si>
  <si>
    <t xml:space="preserve">15%</t>
  </si>
  <si>
    <t xml:space="preserve">Taxable income in this bracket</t>
  </si>
  <si>
    <t xml:space="preserve">$55,867 - $111,733</t>
  </si>
  <si>
    <t xml:space="preserve">20.5%</t>
  </si>
  <si>
    <t xml:space="preserve">$111,733 - $154,906</t>
  </si>
  <si>
    <t xml:space="preserve">26%</t>
  </si>
  <si>
    <t xml:space="preserve">$154,906 - $220,000</t>
  </si>
  <si>
    <t xml:space="preserve">29%</t>
  </si>
  <si>
    <t xml:space="preserve">$220,000+</t>
  </si>
  <si>
    <t xml:space="preserve">33%</t>
  </si>
  <si>
    <t xml:space="preserve">Top marginal rate</t>
  </si>
  <si>
    <t xml:space="preserve">PROVINCIAL TAX RATES - ONTARIO</t>
  </si>
  <si>
    <t xml:space="preserve">$0 - $51,446</t>
  </si>
  <si>
    <t xml:space="preserve">5.05%</t>
  </si>
  <si>
    <t xml:space="preserve">$51,446 - $102,894</t>
  </si>
  <si>
    <t xml:space="preserve">9.15%</t>
  </si>
  <si>
    <t xml:space="preserve">$102,894 - $150,000</t>
  </si>
  <si>
    <t xml:space="preserve">11.16%</t>
  </si>
  <si>
    <t xml:space="preserve">$150,000 - $220,708</t>
  </si>
  <si>
    <t xml:space="preserve">12.16%</t>
  </si>
  <si>
    <t xml:space="preserve">$220,708+</t>
  </si>
  <si>
    <t xml:space="preserve">13.16%</t>
  </si>
  <si>
    <t xml:space="preserve">PROVINCIAL TAX RATES - BRITISH COLUMBIA</t>
  </si>
  <si>
    <t xml:space="preserve">$0 - $47,937</t>
  </si>
  <si>
    <t xml:space="preserve">5.06%</t>
  </si>
  <si>
    <t xml:space="preserve">$47,937 - $95,875</t>
  </si>
  <si>
    <t xml:space="preserve">7.70%</t>
  </si>
  <si>
    <t xml:space="preserve">$95,875 - $110,076</t>
  </si>
  <si>
    <t xml:space="preserve">10.50%</t>
  </si>
  <si>
    <t xml:space="preserve">$110,076 - $133,664</t>
  </si>
  <si>
    <t xml:space="preserve">12.29%</t>
  </si>
  <si>
    <t xml:space="preserve">$133,664 - $181,232</t>
  </si>
  <si>
    <t xml:space="preserve">14.29%</t>
  </si>
  <si>
    <t xml:space="preserve">$181,232 - $252,752</t>
  </si>
  <si>
    <t xml:space="preserve">16.80%</t>
  </si>
  <si>
    <t xml:space="preserve">$252,752 - $393,430</t>
  </si>
  <si>
    <t xml:space="preserve">20.50%</t>
  </si>
  <si>
    <t xml:space="preserve">PROVINCIAL TAX RATES - ALBERTA</t>
  </si>
  <si>
    <t xml:space="preserve">All income levels</t>
  </si>
  <si>
    <t xml:space="preserve">10% (Flat Rate)</t>
  </si>
  <si>
    <t xml:space="preserve">PROVINCIAL TAX RATES - QUEBEC</t>
  </si>
  <si>
    <t xml:space="preserve">$0 - $49,275</t>
  </si>
  <si>
    <t xml:space="preserve">15.00%</t>
  </si>
  <si>
    <t xml:space="preserve">$49,275 - $98,540</t>
  </si>
  <si>
    <t xml:space="preserve">20.00%</t>
  </si>
  <si>
    <t xml:space="preserve">$98,540 - $119,910</t>
  </si>
  <si>
    <t xml:space="preserve">24.00%</t>
  </si>
  <si>
    <t xml:space="preserve">$119,910+</t>
  </si>
  <si>
    <t xml:space="preserve">25.75%</t>
  </si>
  <si>
    <t xml:space="preserve">TAX CALCULATOR - PROFESSIONAL GAMBLER</t>
  </si>
  <si>
    <t xml:space="preserve">Annual Gambling Winnings (CAD):</t>
  </si>
  <si>
    <t xml:space="preserve">Province:</t>
  </si>
  <si>
    <t xml:space="preserve">FEDERAL TAX CALCULATION:</t>
  </si>
  <si>
    <t xml:space="preserve">Federal Tax Owing (based on brackets):</t>
  </si>
  <si>
    <t xml:space="preserve">PROVINCIAL TAX CALCULATION:</t>
  </si>
  <si>
    <t xml:space="preserve">Provincial Tax Owing:</t>
  </si>
  <si>
    <t xml:space="preserve">TOTAL TAX OWING:</t>
  </si>
  <si>
    <t xml:space="preserve">Effective Tax Rate:</t>
  </si>
  <si>
    <t xml:space="preserve">Net Winnings After Tax:</t>
  </si>
  <si>
    <t xml:space="preserve">SPORTS BETTING ARBITRAGE CALCULATOR</t>
  </si>
  <si>
    <t xml:space="preserve">EVENT DETAILS</t>
  </si>
  <si>
    <t xml:space="preserve">Event Name:</t>
  </si>
  <si>
    <t xml:space="preserve">Toronto Raptors vs Boston Celtics</t>
  </si>
  <si>
    <t xml:space="preserve">PLATFORM A DETAILS</t>
  </si>
  <si>
    <t xml:space="preserve">PLATFORM B DETAILS</t>
  </si>
  <si>
    <t xml:space="preserve">Platform A Name:</t>
  </si>
  <si>
    <t xml:space="preserve">Platform B Name:</t>
  </si>
  <si>
    <t xml:space="preserve">Outcome 1 Odds (Decimal):</t>
  </si>
  <si>
    <t xml:space="preserve">Outcome 2 Odds (Decimal):</t>
  </si>
  <si>
    <t xml:space="preserve">Deposit Fee (%):</t>
  </si>
  <si>
    <t xml:space="preserve">Withdrawal Fee (%):</t>
  </si>
  <si>
    <t xml:space="preserve">TOTAL STAKE (CAD):</t>
  </si>
  <si>
    <t xml:space="preserve">ARBITRAGE ANALYSIS</t>
  </si>
  <si>
    <t xml:space="preserve">Combination 1: A Outcome 1 + B Outcome 2</t>
  </si>
  <si>
    <t xml:space="preserve">Implied Probability (1/O1 + 1/O2):</t>
  </si>
  <si>
    <t xml:space="preserve">Arbitrage % (Profit Margin):</t>
  </si>
  <si>
    <t xml:space="preserve">Arbitrage Exists?</t>
  </si>
  <si>
    <t xml:space="preserve">Combination 2: A Outcome 2 + B Outcome 1</t>
  </si>
  <si>
    <t xml:space="preserve">Implied Probability (1/O2 + 1/O1):</t>
  </si>
  <si>
    <t xml:space="preserve">BEST ARBITRAGE OPPORTUNITY</t>
  </si>
  <si>
    <t xml:space="preserve">Using Combination:</t>
  </si>
  <si>
    <t xml:space="preserve">Stake on Platform A (CAD):</t>
  </si>
  <si>
    <t xml:space="preserve">Stake on Platform B (CAD):</t>
  </si>
  <si>
    <t xml:space="preserve">PROFIT ANALYSIS</t>
  </si>
  <si>
    <t xml:space="preserve">RISK ASSESSMENT</t>
  </si>
  <si>
    <t xml:space="preserve">Potential Profit if Outcome 1 Wins:</t>
  </si>
  <si>
    <t xml:space="preserve">Odds Platform A:</t>
  </si>
  <si>
    <t xml:space="preserve">Potential Profit if Outcome 2 Wins:</t>
  </si>
  <si>
    <t xml:space="preserve">Odds Platform B:</t>
  </si>
  <si>
    <t xml:space="preserve">Guaranteed Minimum Profit (CAD):</t>
  </si>
  <si>
    <t xml:space="preserve">Margin of Safety:</t>
  </si>
  <si>
    <t xml:space="preserve">Return on Investment (ROI %):</t>
  </si>
  <si>
    <t xml:space="preserve">BETTING PLATFORM FEE COMPARISON</t>
  </si>
  <si>
    <t xml:space="preserve">Currency Fee (%)</t>
  </si>
  <si>
    <t xml:space="preserve">Inactivity Fee (%)</t>
  </si>
  <si>
    <t xml:space="preserve">Total Cost per $1000</t>
  </si>
  <si>
    <t xml:space="preserve">3-WAY ARBITRAGE CALCULATOR (WIN/DRAW/LOSS)</t>
  </si>
  <si>
    <t xml:space="preserve">England vs Germany Football Match</t>
  </si>
  <si>
    <t xml:space="preserve">PLATFORM A (OUTCOME 1: WIN)</t>
  </si>
  <si>
    <t xml:space="preserve">PLATFORM B (OUTCOME 2: DRAW)</t>
  </si>
  <si>
    <t xml:space="preserve">Outcome 1 (Win) Odds (Decimal):</t>
  </si>
  <si>
    <t xml:space="preserve">Outcome 2 (Draw) Odds (Decimal):</t>
  </si>
  <si>
    <t xml:space="preserve">PLATFORM C (OUTCOME 3: LOSS)</t>
  </si>
  <si>
    <t xml:space="preserve">Platform C Name:</t>
  </si>
  <si>
    <t xml:space="preserve">Outcome 3 (Loss) Odds (Decimal):</t>
  </si>
  <si>
    <t xml:space="preserve">Implied Probability (1/O1 + 1/O2 + 1/O3):</t>
  </si>
  <si>
    <t xml:space="preserve">OPTIMAL STAKE ALLOCATION</t>
  </si>
  <si>
    <t xml:space="preserve">Stake on Platform A (Outcome 1):</t>
  </si>
  <si>
    <t xml:space="preserve">Stake on Platform B (Outcome 2):</t>
  </si>
  <si>
    <t xml:space="preserve">Stake on Platform C (Outcome 3):</t>
  </si>
  <si>
    <t xml:space="preserve">Total Stake Verification:</t>
  </si>
  <si>
    <t xml:space="preserve">Potential Profit if Outcome 3 Wins: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</si>
</sst>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0.00%"/>
    <numFmt numFmtId="167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03366"/>
        <bgColor rgb="FF333399"/>
      </patternFill>
    </fill>
    <fill>
      <patternFill patternType="solid">
        <fgColor rgb="FFE7F0F7"/>
        <bgColor rgb="FFFFFFFF"/>
      </patternFill>
    </fill>
    <fill>
      <patternFill patternType="solid">
        <fgColor rgb="FFFFFFFF"/>
        <bgColor rgb="FFFFFFCC"/>
      </patternFill>
    </fill>
    <fill>
      <patternFill patternType="solid">
        <fgColor rgb="FFFFFF99"/>
        <bgColor rgb="FFFFFFCC"/>
      </patternFill>
    </fill>
    <fill>
      <patternFill patternType="solid">
        <fgColor rgb="FF0066CC"/>
        <bgColor rgb="FF008080"/>
      </patternFill>
    </fill>
    <fill>
      <patternFill patternType="solid">
        <fgColor rgb="FFCC6600"/>
        <bgColor rgb="FF808000"/>
      </patternFill>
    </fill>
    <fill>
      <patternFill patternType="solid">
        <fgColor rgb="FF404040"/>
        <bgColor rgb="FF333300"/>
      </patternFill>
    </fill>
    <fill>
      <patternFill patternType="solid">
        <fgColor rgb="FFC6EFCE"/>
        <bgColor rgb="FFCCFFFF"/>
      </patternFill>
    </fill>
    <fill>
      <patternFill patternType="solid">
        <fgColor rgb="FF006633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633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7F0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C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8" min="5" style="0" width="16"/>
    <col collapsed="false" customWidth="true" hidden="false" outlineLevel="0" max="10" min="9" style="0" width="14"/>
    <col collapsed="false" customWidth="true" hidden="false" outlineLevel="0" max="11" min="11" style="0" width="24"/>
    <col collapsed="false" customWidth="true" hidden="false" outlineLevel="0" max="12" min="12" style="0" width="20"/>
    <col collapsed="false" customWidth="true" hidden="false" outlineLevel="0" max="13" min="13" style="0" width="12"/>
    <col collapsed="false" customWidth="true" hidden="false" outlineLevel="0" max="14" min="14" style="0" width="24"/>
  </cols>
  <sheetData>
    <row r="1" customFormat="false" ht="39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2" t="s">
        <v>12</v>
      </c>
      <c r="N1" s="1" t="s">
        <v>13</v>
      </c>
    </row>
    <row r="2" customFormat="false" ht="15" hidden="false" customHeight="false" outlineLevel="0" collapsed="false">
      <c r="A2" s="3" t="s">
        <v>14</v>
      </c>
      <c r="B2" s="3" t="s">
        <v>15</v>
      </c>
      <c r="C2" s="3" t="s">
        <v>16</v>
      </c>
      <c r="D2" s="3" t="s">
        <v>17</v>
      </c>
      <c r="E2" s="4" t="n">
        <v>10</v>
      </c>
      <c r="F2" s="4" t="n">
        <v>10000</v>
      </c>
      <c r="G2" s="4" t="n">
        <v>10</v>
      </c>
      <c r="H2" s="4" t="n">
        <v>10000</v>
      </c>
      <c r="I2" s="4" t="n">
        <v>0</v>
      </c>
      <c r="J2" s="4" t="n">
        <v>0</v>
      </c>
      <c r="K2" s="3" t="s">
        <v>18</v>
      </c>
      <c r="L2" s="3" t="s">
        <v>19</v>
      </c>
      <c r="M2" s="4" t="s">
        <v>20</v>
      </c>
      <c r="N2" s="3" t="s">
        <v>21</v>
      </c>
    </row>
    <row r="3" customFormat="false" ht="15" hidden="false" customHeight="false" outlineLevel="0" collapsed="false">
      <c r="A3" s="5" t="s">
        <v>22</v>
      </c>
      <c r="B3" s="5" t="s">
        <v>15</v>
      </c>
      <c r="C3" s="5" t="s">
        <v>16</v>
      </c>
      <c r="D3" s="5" t="s">
        <v>23</v>
      </c>
      <c r="E3" s="6" t="n">
        <v>10</v>
      </c>
      <c r="F3" s="6" t="n">
        <v>10000</v>
      </c>
      <c r="G3" s="6" t="n">
        <v>10</v>
      </c>
      <c r="H3" s="6" t="n">
        <v>10000</v>
      </c>
      <c r="I3" s="6" t="n">
        <v>0</v>
      </c>
      <c r="J3" s="6" t="n">
        <v>0</v>
      </c>
      <c r="K3" s="5" t="s">
        <v>18</v>
      </c>
      <c r="L3" s="5" t="s">
        <v>24</v>
      </c>
      <c r="M3" s="6" t="s">
        <v>20</v>
      </c>
      <c r="N3" s="5" t="s">
        <v>25</v>
      </c>
    </row>
    <row r="4" customFormat="false" ht="15" hidden="false" customHeight="false" outlineLevel="0" collapsed="false">
      <c r="A4" s="3" t="s">
        <v>26</v>
      </c>
      <c r="B4" s="3" t="s">
        <v>15</v>
      </c>
      <c r="C4" s="3" t="s">
        <v>16</v>
      </c>
      <c r="D4" s="3" t="s">
        <v>23</v>
      </c>
      <c r="E4" s="4" t="n">
        <v>10</v>
      </c>
      <c r="F4" s="4" t="n">
        <v>5000</v>
      </c>
      <c r="G4" s="4" t="n">
        <v>20</v>
      </c>
      <c r="H4" s="4" t="n">
        <v>50000</v>
      </c>
      <c r="I4" s="4" t="n">
        <v>0</v>
      </c>
      <c r="J4" s="4" t="n">
        <v>0</v>
      </c>
      <c r="K4" s="3" t="s">
        <v>18</v>
      </c>
      <c r="L4" s="3" t="s">
        <v>27</v>
      </c>
      <c r="M4" s="4" t="s">
        <v>20</v>
      </c>
      <c r="N4" s="3" t="s">
        <v>28</v>
      </c>
    </row>
    <row r="5" customFormat="false" ht="15" hidden="false" customHeight="false" outlineLevel="0" collapsed="false">
      <c r="A5" s="5" t="s">
        <v>29</v>
      </c>
      <c r="B5" s="5" t="s">
        <v>15</v>
      </c>
      <c r="C5" s="5" t="s">
        <v>16</v>
      </c>
      <c r="D5" s="5" t="s">
        <v>23</v>
      </c>
      <c r="E5" s="6" t="n">
        <v>10</v>
      </c>
      <c r="F5" s="6" t="n">
        <v>5000</v>
      </c>
      <c r="G5" s="6" t="n">
        <v>20</v>
      </c>
      <c r="H5" s="6" t="n">
        <v>50000</v>
      </c>
      <c r="I5" s="6" t="n">
        <v>0</v>
      </c>
      <c r="J5" s="6" t="n">
        <v>0</v>
      </c>
      <c r="K5" s="5" t="s">
        <v>18</v>
      </c>
      <c r="L5" s="5" t="s">
        <v>30</v>
      </c>
      <c r="M5" s="6" t="s">
        <v>20</v>
      </c>
      <c r="N5" s="5" t="s">
        <v>31</v>
      </c>
    </row>
    <row r="6" customFormat="false" ht="15" hidden="false" customHeight="false" outlineLevel="0" collapsed="false">
      <c r="A6" s="3" t="s">
        <v>32</v>
      </c>
      <c r="B6" s="3" t="s">
        <v>15</v>
      </c>
      <c r="C6" s="3" t="s">
        <v>16</v>
      </c>
      <c r="D6" s="3" t="s">
        <v>23</v>
      </c>
      <c r="E6" s="4" t="n">
        <v>10</v>
      </c>
      <c r="F6" s="4" t="n">
        <v>5000</v>
      </c>
      <c r="G6" s="4" t="n">
        <v>20</v>
      </c>
      <c r="H6" s="4" t="n">
        <v>50000</v>
      </c>
      <c r="I6" s="4" t="n">
        <v>0</v>
      </c>
      <c r="J6" s="4" t="n">
        <v>0</v>
      </c>
      <c r="K6" s="3" t="s">
        <v>18</v>
      </c>
      <c r="L6" s="3" t="s">
        <v>33</v>
      </c>
      <c r="M6" s="4" t="s">
        <v>20</v>
      </c>
      <c r="N6" s="3" t="s">
        <v>34</v>
      </c>
    </row>
    <row r="7" customFormat="false" ht="15" hidden="false" customHeight="false" outlineLevel="0" collapsed="false">
      <c r="A7" s="5" t="s">
        <v>35</v>
      </c>
      <c r="B7" s="5" t="s">
        <v>15</v>
      </c>
      <c r="C7" s="5" t="s">
        <v>16</v>
      </c>
      <c r="D7" s="5" t="s">
        <v>23</v>
      </c>
      <c r="E7" s="6" t="n">
        <v>10</v>
      </c>
      <c r="F7" s="6" t="n">
        <v>25000</v>
      </c>
      <c r="G7" s="6" t="n">
        <v>10</v>
      </c>
      <c r="H7" s="6" t="n">
        <v>50000</v>
      </c>
      <c r="I7" s="6" t="n">
        <v>0</v>
      </c>
      <c r="J7" s="6" t="n">
        <v>0</v>
      </c>
      <c r="K7" s="5" t="s">
        <v>36</v>
      </c>
      <c r="L7" s="5" t="s">
        <v>37</v>
      </c>
      <c r="M7" s="6" t="s">
        <v>20</v>
      </c>
      <c r="N7" s="5" t="s">
        <v>38</v>
      </c>
    </row>
    <row r="8" customFormat="false" ht="15" hidden="false" customHeight="false" outlineLevel="0" collapsed="false">
      <c r="A8" s="3" t="s">
        <v>39</v>
      </c>
      <c r="B8" s="3" t="s">
        <v>15</v>
      </c>
      <c r="C8" s="3" t="s">
        <v>16</v>
      </c>
      <c r="D8" s="3" t="s">
        <v>23</v>
      </c>
      <c r="E8" s="4" t="n">
        <v>10</v>
      </c>
      <c r="F8" s="4" t="n">
        <v>10000</v>
      </c>
      <c r="G8" s="4" t="n">
        <v>10</v>
      </c>
      <c r="H8" s="4" t="n">
        <v>50000</v>
      </c>
      <c r="I8" s="4" t="n">
        <v>0</v>
      </c>
      <c r="J8" s="4" t="n">
        <v>0</v>
      </c>
      <c r="K8" s="3" t="s">
        <v>18</v>
      </c>
      <c r="L8" s="3" t="s">
        <v>33</v>
      </c>
      <c r="M8" s="4" t="s">
        <v>20</v>
      </c>
      <c r="N8" s="3" t="s">
        <v>40</v>
      </c>
    </row>
    <row r="9" customFormat="false" ht="15" hidden="false" customHeight="false" outlineLevel="0" collapsed="false">
      <c r="A9" s="5" t="s">
        <v>41</v>
      </c>
      <c r="B9" s="5" t="s">
        <v>15</v>
      </c>
      <c r="C9" s="5" t="s">
        <v>16</v>
      </c>
      <c r="D9" s="5" t="s">
        <v>23</v>
      </c>
      <c r="E9" s="6" t="n">
        <v>10</v>
      </c>
      <c r="F9" s="6" t="n">
        <v>10000</v>
      </c>
      <c r="G9" s="6" t="n">
        <v>20</v>
      </c>
      <c r="H9" s="6" t="n">
        <v>50000</v>
      </c>
      <c r="I9" s="6" t="n">
        <v>0</v>
      </c>
      <c r="J9" s="6" t="n">
        <v>0</v>
      </c>
      <c r="K9" s="5" t="s">
        <v>18</v>
      </c>
      <c r="L9" s="5" t="s">
        <v>37</v>
      </c>
      <c r="M9" s="6" t="s">
        <v>20</v>
      </c>
      <c r="N9" s="5" t="s">
        <v>42</v>
      </c>
    </row>
    <row r="10" customFormat="false" ht="15" hidden="false" customHeight="false" outlineLevel="0" collapsed="false">
      <c r="A10" s="3" t="s">
        <v>43</v>
      </c>
      <c r="B10" s="3" t="s">
        <v>15</v>
      </c>
      <c r="C10" s="3" t="s">
        <v>16</v>
      </c>
      <c r="D10" s="3" t="s">
        <v>23</v>
      </c>
      <c r="E10" s="4" t="n">
        <v>10</v>
      </c>
      <c r="F10" s="4" t="n">
        <v>10000</v>
      </c>
      <c r="G10" s="4" t="n">
        <v>10</v>
      </c>
      <c r="H10" s="4" t="n">
        <v>50000</v>
      </c>
      <c r="I10" s="4" t="n">
        <v>0</v>
      </c>
      <c r="J10" s="4" t="n">
        <v>0</v>
      </c>
      <c r="K10" s="3" t="s">
        <v>18</v>
      </c>
      <c r="L10" s="3" t="s">
        <v>33</v>
      </c>
      <c r="M10" s="4" t="s">
        <v>20</v>
      </c>
      <c r="N10" s="3" t="s">
        <v>44</v>
      </c>
    </row>
    <row r="11" customFormat="false" ht="15" hidden="false" customHeight="false" outlineLevel="0" collapsed="false">
      <c r="A11" s="5" t="s">
        <v>45</v>
      </c>
      <c r="B11" s="5" t="s">
        <v>15</v>
      </c>
      <c r="C11" s="5" t="s">
        <v>16</v>
      </c>
      <c r="D11" s="5" t="s">
        <v>23</v>
      </c>
      <c r="E11" s="6" t="n">
        <v>20</v>
      </c>
      <c r="F11" s="6" t="n">
        <v>10000</v>
      </c>
      <c r="G11" s="6" t="n">
        <v>20</v>
      </c>
      <c r="H11" s="6" t="n">
        <v>50000</v>
      </c>
      <c r="I11" s="6" t="n">
        <v>0</v>
      </c>
      <c r="J11" s="6" t="n">
        <v>0</v>
      </c>
      <c r="K11" s="5" t="s">
        <v>18</v>
      </c>
      <c r="L11" s="5" t="s">
        <v>27</v>
      </c>
      <c r="M11" s="6" t="s">
        <v>20</v>
      </c>
      <c r="N11" s="5" t="s">
        <v>46</v>
      </c>
    </row>
    <row r="12" customFormat="false" ht="15" hidden="false" customHeight="false" outlineLevel="0" collapsed="false">
      <c r="A12" s="3" t="s">
        <v>47</v>
      </c>
      <c r="B12" s="3" t="s">
        <v>48</v>
      </c>
      <c r="C12" s="3" t="s">
        <v>16</v>
      </c>
      <c r="D12" s="3" t="s">
        <v>49</v>
      </c>
      <c r="E12" s="4" t="n">
        <v>1</v>
      </c>
      <c r="F12" s="4" t="n">
        <v>20000</v>
      </c>
      <c r="G12" s="4" t="n">
        <v>10</v>
      </c>
      <c r="H12" s="4" t="n">
        <v>50000</v>
      </c>
      <c r="I12" s="4" t="n">
        <v>0</v>
      </c>
      <c r="J12" s="4" t="n">
        <v>0</v>
      </c>
      <c r="K12" s="3" t="s">
        <v>50</v>
      </c>
      <c r="L12" s="3" t="s">
        <v>33</v>
      </c>
      <c r="M12" s="4" t="s">
        <v>20</v>
      </c>
      <c r="N12" s="3" t="s">
        <v>51</v>
      </c>
    </row>
    <row r="13" customFormat="false" ht="15" hidden="false" customHeight="false" outlineLevel="0" collapsed="false">
      <c r="A13" s="5" t="s">
        <v>52</v>
      </c>
      <c r="B13" s="5" t="s">
        <v>48</v>
      </c>
      <c r="C13" s="5" t="s">
        <v>53</v>
      </c>
      <c r="D13" s="5" t="s">
        <v>54</v>
      </c>
      <c r="E13" s="6" t="n">
        <v>10</v>
      </c>
      <c r="F13" s="6" t="n">
        <v>10000</v>
      </c>
      <c r="G13" s="6" t="n">
        <v>10</v>
      </c>
      <c r="H13" s="6" t="n">
        <v>50000</v>
      </c>
      <c r="I13" s="6" t="n">
        <v>0</v>
      </c>
      <c r="J13" s="6" t="n">
        <v>0</v>
      </c>
      <c r="K13" s="5" t="s">
        <v>55</v>
      </c>
      <c r="L13" s="5" t="s">
        <v>56</v>
      </c>
      <c r="M13" s="6" t="s">
        <v>20</v>
      </c>
      <c r="N13" s="5" t="s">
        <v>57</v>
      </c>
    </row>
    <row r="14" customFormat="false" ht="15" hidden="false" customHeight="false" outlineLevel="0" collapsed="false">
      <c r="A14" s="3" t="s">
        <v>58</v>
      </c>
      <c r="B14" s="3" t="s">
        <v>48</v>
      </c>
      <c r="C14" s="3" t="s">
        <v>59</v>
      </c>
      <c r="D14" s="3" t="s">
        <v>60</v>
      </c>
      <c r="E14" s="4" t="n">
        <v>10</v>
      </c>
      <c r="F14" s="4" t="n">
        <v>10000</v>
      </c>
      <c r="G14" s="4" t="n">
        <v>10</v>
      </c>
      <c r="H14" s="4" t="n">
        <v>50000</v>
      </c>
      <c r="I14" s="4" t="n">
        <v>0</v>
      </c>
      <c r="J14" s="4" t="n">
        <v>0</v>
      </c>
      <c r="K14" s="3" t="s">
        <v>61</v>
      </c>
      <c r="L14" s="3" t="s">
        <v>33</v>
      </c>
      <c r="M14" s="4" t="s">
        <v>20</v>
      </c>
      <c r="N14" s="3" t="s">
        <v>62</v>
      </c>
    </row>
    <row r="15" customFormat="false" ht="15" hidden="false" customHeight="false" outlineLevel="0" collapsed="false">
      <c r="A15" s="5" t="s">
        <v>63</v>
      </c>
      <c r="B15" s="5" t="s">
        <v>48</v>
      </c>
      <c r="C15" s="5" t="s">
        <v>64</v>
      </c>
      <c r="D15" s="5" t="s">
        <v>65</v>
      </c>
      <c r="E15" s="6" t="n">
        <v>1</v>
      </c>
      <c r="F15" s="6" t="n">
        <v>10000</v>
      </c>
      <c r="G15" s="6" t="n">
        <v>10</v>
      </c>
      <c r="H15" s="6" t="n">
        <v>50000</v>
      </c>
      <c r="I15" s="6" t="n">
        <v>0</v>
      </c>
      <c r="J15" s="6" t="n">
        <v>0</v>
      </c>
      <c r="K15" s="5" t="s">
        <v>66</v>
      </c>
      <c r="L15" s="5" t="s">
        <v>56</v>
      </c>
      <c r="M15" s="6" t="s">
        <v>20</v>
      </c>
      <c r="N15" s="5" t="s">
        <v>67</v>
      </c>
    </row>
    <row r="16" customFormat="false" ht="15" hidden="false" customHeight="false" outlineLevel="0" collapsed="false">
      <c r="A16" s="3" t="s">
        <v>68</v>
      </c>
      <c r="B16" s="3" t="s">
        <v>69</v>
      </c>
      <c r="C16" s="3" t="s">
        <v>70</v>
      </c>
      <c r="D16" s="3" t="s">
        <v>71</v>
      </c>
      <c r="E16" s="4" t="n">
        <v>10</v>
      </c>
      <c r="F16" s="4" t="n">
        <v>50000</v>
      </c>
      <c r="G16" s="4" t="n">
        <v>10</v>
      </c>
      <c r="H16" s="4" t="n">
        <v>50000</v>
      </c>
      <c r="I16" s="4" t="n">
        <v>0</v>
      </c>
      <c r="J16" s="4" t="n">
        <v>5</v>
      </c>
      <c r="K16" s="3" t="s">
        <v>72</v>
      </c>
      <c r="L16" s="3" t="s">
        <v>33</v>
      </c>
      <c r="M16" s="4" t="s">
        <v>73</v>
      </c>
      <c r="N16" s="3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0"/>
    <col collapsed="false" customWidth="true" hidden="false" outlineLevel="0" max="3" min="3" style="0" width="25"/>
    <col collapsed="false" customWidth="true" hidden="false" outlineLevel="0" max="5" min="4" style="0" width="20"/>
  </cols>
  <sheetData>
    <row r="1" customFormat="false" ht="17.35" hidden="false" customHeight="false" outlineLevel="0" collapsed="false">
      <c r="A1" s="7" t="s">
        <v>75</v>
      </c>
      <c r="B1" s="7"/>
      <c r="C1" s="7"/>
      <c r="D1" s="7"/>
      <c r="E1" s="7"/>
    </row>
    <row r="3" customFormat="false" ht="15" hidden="false" customHeight="false" outlineLevel="0" collapsed="false">
      <c r="A3" s="8" t="s">
        <v>76</v>
      </c>
    </row>
    <row r="4" customFormat="false" ht="15" hidden="false" customHeight="false" outlineLevel="0" collapsed="false">
      <c r="A4" s="9" t="s">
        <v>77</v>
      </c>
      <c r="B4" s="9"/>
      <c r="C4" s="9"/>
      <c r="D4" s="9"/>
      <c r="E4" s="9"/>
    </row>
    <row r="6" customFormat="false" ht="15" hidden="false" customHeight="false" outlineLevel="0" collapsed="false">
      <c r="A6" s="8" t="s">
        <v>78</v>
      </c>
    </row>
    <row r="7" customFormat="false" ht="15" hidden="false" customHeight="false" outlineLevel="0" collapsed="false">
      <c r="A7" s="2" t="s">
        <v>79</v>
      </c>
      <c r="B7" s="2" t="s">
        <v>80</v>
      </c>
      <c r="C7" s="2" t="s">
        <v>81</v>
      </c>
    </row>
    <row r="8" customFormat="false" ht="26.85" hidden="false" customHeight="false" outlineLevel="0" collapsed="false">
      <c r="A8" s="4" t="s">
        <v>82</v>
      </c>
      <c r="B8" s="4" t="s">
        <v>83</v>
      </c>
      <c r="C8" s="4" t="s">
        <v>84</v>
      </c>
    </row>
    <row r="9" customFormat="false" ht="26.85" hidden="false" customHeight="false" outlineLevel="0" collapsed="false">
      <c r="A9" s="6" t="s">
        <v>85</v>
      </c>
      <c r="B9" s="6" t="s">
        <v>86</v>
      </c>
      <c r="C9" s="6" t="s">
        <v>84</v>
      </c>
    </row>
    <row r="10" customFormat="false" ht="26.85" hidden="false" customHeight="false" outlineLevel="0" collapsed="false">
      <c r="A10" s="4" t="s">
        <v>87</v>
      </c>
      <c r="B10" s="4" t="s">
        <v>88</v>
      </c>
      <c r="C10" s="4" t="s">
        <v>84</v>
      </c>
    </row>
    <row r="11" customFormat="false" ht="26.85" hidden="false" customHeight="false" outlineLevel="0" collapsed="false">
      <c r="A11" s="6" t="s">
        <v>89</v>
      </c>
      <c r="B11" s="6" t="s">
        <v>90</v>
      </c>
      <c r="C11" s="6" t="s">
        <v>84</v>
      </c>
    </row>
    <row r="12" customFormat="false" ht="15" hidden="false" customHeight="false" outlineLevel="0" collapsed="false">
      <c r="A12" s="4" t="s">
        <v>91</v>
      </c>
      <c r="B12" s="4" t="s">
        <v>92</v>
      </c>
      <c r="C12" s="4" t="s">
        <v>93</v>
      </c>
    </row>
    <row r="13" customFormat="false" ht="15" hidden="false" customHeight="false" outlineLevel="0" collapsed="false">
      <c r="A13" s="8" t="s">
        <v>94</v>
      </c>
    </row>
    <row r="14" customFormat="false" ht="15" hidden="false" customHeight="false" outlineLevel="0" collapsed="false">
      <c r="A14" s="2" t="s">
        <v>79</v>
      </c>
      <c r="B14" s="2" t="s">
        <v>80</v>
      </c>
    </row>
    <row r="15" customFormat="false" ht="15" hidden="false" customHeight="false" outlineLevel="0" collapsed="false">
      <c r="A15" s="6" t="s">
        <v>95</v>
      </c>
      <c r="B15" s="6" t="s">
        <v>96</v>
      </c>
    </row>
    <row r="16" customFormat="false" ht="15" hidden="false" customHeight="false" outlineLevel="0" collapsed="false">
      <c r="A16" s="4" t="s">
        <v>97</v>
      </c>
      <c r="B16" s="4" t="s">
        <v>98</v>
      </c>
    </row>
    <row r="17" customFormat="false" ht="15" hidden="false" customHeight="false" outlineLevel="0" collapsed="false">
      <c r="A17" s="6" t="s">
        <v>99</v>
      </c>
      <c r="B17" s="6" t="s">
        <v>100</v>
      </c>
    </row>
    <row r="18" customFormat="false" ht="15" hidden="false" customHeight="false" outlineLevel="0" collapsed="false">
      <c r="A18" s="4" t="s">
        <v>101</v>
      </c>
      <c r="B18" s="4" t="s">
        <v>102</v>
      </c>
    </row>
    <row r="19" customFormat="false" ht="15" hidden="false" customHeight="false" outlineLevel="0" collapsed="false">
      <c r="A19" s="6" t="s">
        <v>103</v>
      </c>
      <c r="B19" s="6" t="s">
        <v>104</v>
      </c>
    </row>
    <row r="20" customFormat="false" ht="15" hidden="false" customHeight="false" outlineLevel="0" collapsed="false">
      <c r="A20" s="8" t="s">
        <v>105</v>
      </c>
    </row>
    <row r="21" customFormat="false" ht="15" hidden="false" customHeight="false" outlineLevel="0" collapsed="false">
      <c r="A21" s="2" t="s">
        <v>79</v>
      </c>
      <c r="B21" s="2" t="s">
        <v>80</v>
      </c>
    </row>
    <row r="22" customFormat="false" ht="15" hidden="false" customHeight="false" outlineLevel="0" collapsed="false">
      <c r="A22" s="4" t="s">
        <v>106</v>
      </c>
      <c r="B22" s="4" t="s">
        <v>107</v>
      </c>
    </row>
    <row r="23" customFormat="false" ht="15" hidden="false" customHeight="false" outlineLevel="0" collapsed="false">
      <c r="A23" s="6" t="s">
        <v>108</v>
      </c>
      <c r="B23" s="6" t="s">
        <v>109</v>
      </c>
    </row>
    <row r="24" customFormat="false" ht="15" hidden="false" customHeight="false" outlineLevel="0" collapsed="false">
      <c r="A24" s="4" t="s">
        <v>110</v>
      </c>
      <c r="B24" s="4" t="s">
        <v>111</v>
      </c>
    </row>
    <row r="25" customFormat="false" ht="15" hidden="false" customHeight="false" outlineLevel="0" collapsed="false">
      <c r="A25" s="6" t="s">
        <v>112</v>
      </c>
      <c r="B25" s="6" t="s">
        <v>113</v>
      </c>
    </row>
    <row r="26" customFormat="false" ht="15" hidden="false" customHeight="false" outlineLevel="0" collapsed="false">
      <c r="A26" s="4" t="s">
        <v>114</v>
      </c>
      <c r="B26" s="4" t="s">
        <v>115</v>
      </c>
    </row>
    <row r="27" customFormat="false" ht="15" hidden="false" customHeight="false" outlineLevel="0" collapsed="false">
      <c r="A27" s="6" t="s">
        <v>116</v>
      </c>
      <c r="B27" s="6" t="s">
        <v>117</v>
      </c>
    </row>
    <row r="28" customFormat="false" ht="15" hidden="false" customHeight="false" outlineLevel="0" collapsed="false">
      <c r="A28" s="4" t="s">
        <v>118</v>
      </c>
      <c r="B28" s="4" t="s">
        <v>119</v>
      </c>
    </row>
    <row r="29" customFormat="false" ht="15" hidden="false" customHeight="false" outlineLevel="0" collapsed="false">
      <c r="A29" s="8" t="s">
        <v>120</v>
      </c>
    </row>
    <row r="30" customFormat="false" ht="15" hidden="false" customHeight="false" outlineLevel="0" collapsed="false">
      <c r="A30" s="10" t="s">
        <v>79</v>
      </c>
      <c r="B30" s="10" t="s">
        <v>80</v>
      </c>
    </row>
    <row r="31" customFormat="false" ht="15" hidden="false" customHeight="false" outlineLevel="0" collapsed="false">
      <c r="A31" s="11" t="s">
        <v>121</v>
      </c>
      <c r="B31" s="11" t="s">
        <v>122</v>
      </c>
    </row>
    <row r="33" customFormat="false" ht="15" hidden="false" customHeight="false" outlineLevel="0" collapsed="false">
      <c r="A33" s="8" t="s">
        <v>123</v>
      </c>
    </row>
    <row r="34" customFormat="false" ht="15" hidden="false" customHeight="false" outlineLevel="0" collapsed="false">
      <c r="A34" s="2" t="s">
        <v>79</v>
      </c>
      <c r="B34" s="2" t="s">
        <v>80</v>
      </c>
    </row>
    <row r="35" customFormat="false" ht="15" hidden="false" customHeight="false" outlineLevel="0" collapsed="false">
      <c r="A35" s="6" t="s">
        <v>124</v>
      </c>
      <c r="B35" s="6" t="s">
        <v>125</v>
      </c>
    </row>
    <row r="36" customFormat="false" ht="15" hidden="false" customHeight="false" outlineLevel="0" collapsed="false">
      <c r="A36" s="4" t="s">
        <v>126</v>
      </c>
      <c r="B36" s="4" t="s">
        <v>127</v>
      </c>
    </row>
    <row r="37" customFormat="false" ht="15" hidden="false" customHeight="false" outlineLevel="0" collapsed="false">
      <c r="A37" s="6" t="s">
        <v>128</v>
      </c>
      <c r="B37" s="6" t="s">
        <v>129</v>
      </c>
    </row>
    <row r="38" customFormat="false" ht="15" hidden="false" customHeight="false" outlineLevel="0" collapsed="false">
      <c r="A38" s="4" t="s">
        <v>130</v>
      </c>
      <c r="B38" s="4" t="s">
        <v>131</v>
      </c>
    </row>
    <row r="40" customFormat="false" ht="15" hidden="false" customHeight="false" outlineLevel="0" collapsed="false">
      <c r="A40" s="8" t="s">
        <v>132</v>
      </c>
    </row>
    <row r="42" customFormat="false" ht="15" hidden="false" customHeight="false" outlineLevel="0" collapsed="false">
      <c r="A42" s="12" t="s">
        <v>133</v>
      </c>
      <c r="B42" s="13"/>
    </row>
    <row r="43" customFormat="false" ht="15" hidden="false" customHeight="false" outlineLevel="0" collapsed="false">
      <c r="A43" s="12" t="s">
        <v>134</v>
      </c>
      <c r="B43" s="14"/>
    </row>
    <row r="45" customFormat="false" ht="15" hidden="false" customHeight="false" outlineLevel="0" collapsed="false">
      <c r="A45" s="15" t="s">
        <v>135</v>
      </c>
    </row>
    <row r="46" customFormat="false" ht="15" hidden="false" customHeight="false" outlineLevel="0" collapsed="false">
      <c r="A46" s="0" t="s">
        <v>136</v>
      </c>
      <c r="B46" s="16" t="n">
        <f aca="false">IF(B42&lt;=55867,B42*0.15,IF(B42&lt;=111733,(55867*0.15)+(B42-55867)*0.205,IF(B42&lt;=154906,(55867*0.15)+(111733-55867)*0.205+(B42-111733)*0.26,IF(B42&lt;=220000,(55867*0.15)+(111733-55867)*0.205+(154906-111733)*0.26+(B42-154906)*0.29,(55867*0.15)+(111733-55867)*0.205+(154906-111733)*0.26+(220000-154906)*0.29+(B42-220000)*0.33))))</f>
        <v>0</v>
      </c>
    </row>
    <row r="48" customFormat="false" ht="15" hidden="false" customHeight="false" outlineLevel="0" collapsed="false">
      <c r="A48" s="15" t="s">
        <v>137</v>
      </c>
    </row>
    <row r="49" customFormat="false" ht="15" hidden="false" customHeight="false" outlineLevel="0" collapsed="false">
      <c r="A49" s="0" t="s">
        <v>138</v>
      </c>
      <c r="B49" s="16"/>
    </row>
    <row r="51" customFormat="false" ht="15" hidden="false" customHeight="false" outlineLevel="0" collapsed="false">
      <c r="A51" s="15" t="s">
        <v>139</v>
      </c>
      <c r="B51" s="17" t="n">
        <f aca="false">B46+B49</f>
        <v>0</v>
      </c>
    </row>
    <row r="52" customFormat="false" ht="15" hidden="false" customHeight="false" outlineLevel="0" collapsed="false">
      <c r="A52" s="0" t="s">
        <v>140</v>
      </c>
      <c r="B52" s="18" t="n">
        <f aca="false">IF(B42=0,0,B51/B42)</f>
        <v>0</v>
      </c>
    </row>
    <row r="53" customFormat="false" ht="15" hidden="false" customHeight="false" outlineLevel="0" collapsed="false">
      <c r="A53" s="0" t="s">
        <v>141</v>
      </c>
      <c r="B53" s="16" t="n">
        <f aca="false">B42-B51</f>
        <v>0</v>
      </c>
    </row>
  </sheetData>
  <mergeCells count="2">
    <mergeCell ref="A1:E1"/>
    <mergeCell ref="A4:E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0"/>
    <col collapsed="false" customWidth="true" hidden="false" outlineLevel="0" max="3" min="3" style="0" width="3"/>
    <col collapsed="false" customWidth="true" hidden="false" outlineLevel="0" max="4" min="4" style="0" width="35"/>
    <col collapsed="false" customWidth="true" hidden="false" outlineLevel="0" max="6" min="5" style="0" width="20"/>
  </cols>
  <sheetData>
    <row r="1" customFormat="false" ht="17.35" hidden="false" customHeight="false" outlineLevel="0" collapsed="false">
      <c r="A1" s="7" t="s">
        <v>142</v>
      </c>
      <c r="B1" s="7"/>
      <c r="C1" s="7"/>
      <c r="D1" s="7"/>
      <c r="E1" s="7"/>
      <c r="F1" s="7"/>
    </row>
    <row r="3" customFormat="false" ht="15" hidden="false" customHeight="false" outlineLevel="0" collapsed="false">
      <c r="A3" s="10" t="s">
        <v>143</v>
      </c>
    </row>
    <row r="4" customFormat="false" ht="15" hidden="false" customHeight="false" outlineLevel="0" collapsed="false">
      <c r="A4" s="12" t="s">
        <v>144</v>
      </c>
      <c r="B4" s="14" t="s">
        <v>145</v>
      </c>
    </row>
    <row r="6" customFormat="false" ht="15" hidden="false" customHeight="false" outlineLevel="0" collapsed="false">
      <c r="A6" s="19" t="s">
        <v>146</v>
      </c>
      <c r="D6" s="20" t="s">
        <v>147</v>
      </c>
    </row>
    <row r="7" customFormat="false" ht="15" hidden="false" customHeight="false" outlineLevel="0" collapsed="false">
      <c r="A7" s="0" t="s">
        <v>148</v>
      </c>
      <c r="B7" s="14" t="s">
        <v>14</v>
      </c>
      <c r="D7" s="0" t="s">
        <v>149</v>
      </c>
      <c r="E7" s="14" t="s">
        <v>22</v>
      </c>
    </row>
    <row r="8" customFormat="false" ht="15" hidden="false" customHeight="false" outlineLevel="0" collapsed="false">
      <c r="A8" s="0" t="s">
        <v>150</v>
      </c>
      <c r="B8" s="21" t="n">
        <v>2.15</v>
      </c>
      <c r="D8" s="0" t="s">
        <v>150</v>
      </c>
      <c r="E8" s="21" t="n">
        <v>2.1</v>
      </c>
    </row>
    <row r="9" customFormat="false" ht="15" hidden="false" customHeight="false" outlineLevel="0" collapsed="false">
      <c r="A9" s="0" t="s">
        <v>151</v>
      </c>
      <c r="B9" s="21" t="n">
        <v>1.72</v>
      </c>
      <c r="D9" s="0" t="s">
        <v>151</v>
      </c>
      <c r="E9" s="21" t="n">
        <v>1.78</v>
      </c>
    </row>
    <row r="10" customFormat="false" ht="15" hidden="false" customHeight="false" outlineLevel="0" collapsed="false">
      <c r="A10" s="0" t="s">
        <v>152</v>
      </c>
      <c r="B10" s="22" t="n">
        <v>0</v>
      </c>
      <c r="D10" s="0" t="s">
        <v>152</v>
      </c>
      <c r="E10" s="22" t="n">
        <v>0</v>
      </c>
    </row>
    <row r="11" customFormat="false" ht="15" hidden="false" customHeight="false" outlineLevel="0" collapsed="false">
      <c r="A11" s="0" t="s">
        <v>153</v>
      </c>
      <c r="B11" s="22" t="n">
        <v>0</v>
      </c>
      <c r="D11" s="0" t="s">
        <v>153</v>
      </c>
      <c r="E11" s="22" t="n">
        <v>0</v>
      </c>
    </row>
    <row r="13" customFormat="false" ht="15" hidden="false" customHeight="false" outlineLevel="0" collapsed="false">
      <c r="A13" s="15" t="s">
        <v>154</v>
      </c>
      <c r="B13" s="13" t="n">
        <v>1000</v>
      </c>
    </row>
    <row r="15" customFormat="false" ht="15" hidden="false" customHeight="false" outlineLevel="0" collapsed="false">
      <c r="A15" s="23" t="s">
        <v>155</v>
      </c>
    </row>
    <row r="16" customFormat="false" ht="15" hidden="false" customHeight="false" outlineLevel="0" collapsed="false">
      <c r="A16" s="24" t="s">
        <v>156</v>
      </c>
    </row>
    <row r="17" customFormat="false" ht="15" hidden="false" customHeight="false" outlineLevel="0" collapsed="false">
      <c r="A17" s="0" t="s">
        <v>157</v>
      </c>
      <c r="B17" s="25" t="n">
        <f aca="false">1/B8+1/E9</f>
        <v>1.02691403187876</v>
      </c>
    </row>
    <row r="18" customFormat="false" ht="15" hidden="false" customHeight="false" outlineLevel="0" collapsed="false">
      <c r="A18" s="0" t="s">
        <v>158</v>
      </c>
      <c r="B18" s="18" t="n">
        <f aca="false">B17-1</f>
        <v>0.0269140318787562</v>
      </c>
    </row>
    <row r="19" customFormat="false" ht="15" hidden="false" customHeight="false" outlineLevel="0" collapsed="false">
      <c r="A19" s="0" t="s">
        <v>159</v>
      </c>
      <c r="B19" s="26" t="str">
        <f aca="false">IF(B18&lt;0,"YES - Opportunity","NO")</f>
        <v>NO</v>
      </c>
    </row>
    <row r="21" customFormat="false" ht="15" hidden="false" customHeight="false" outlineLevel="0" collapsed="false">
      <c r="A21" s="24" t="s">
        <v>160</v>
      </c>
    </row>
    <row r="22" customFormat="false" ht="15" hidden="false" customHeight="false" outlineLevel="0" collapsed="false">
      <c r="A22" s="0" t="s">
        <v>161</v>
      </c>
      <c r="B22" s="25" t="n">
        <f aca="false">1/B9+1/E8</f>
        <v>1.05758582502769</v>
      </c>
    </row>
    <row r="23" customFormat="false" ht="15" hidden="false" customHeight="false" outlineLevel="0" collapsed="false">
      <c r="A23" s="0" t="s">
        <v>158</v>
      </c>
      <c r="B23" s="18" t="n">
        <f aca="false">B22-1</f>
        <v>0.0575858250276855</v>
      </c>
    </row>
    <row r="24" customFormat="false" ht="15" hidden="false" customHeight="false" outlineLevel="0" collapsed="false">
      <c r="A24" s="0" t="s">
        <v>159</v>
      </c>
      <c r="B24" s="26" t="str">
        <f aca="false">IF(B23&lt;0,"YES - Opportunity","NO")</f>
        <v>NO</v>
      </c>
    </row>
    <row r="26" customFormat="false" ht="15" hidden="false" customHeight="false" outlineLevel="0" collapsed="false">
      <c r="A26" s="10" t="s">
        <v>162</v>
      </c>
    </row>
    <row r="27" customFormat="false" ht="15" hidden="false" customHeight="false" outlineLevel="0" collapsed="false">
      <c r="A27" s="0" t="s">
        <v>163</v>
      </c>
      <c r="B27" s="26" t="str">
        <f aca="false">IF(B18&lt;B23,"1: Outcome A1 + B Outcome 2","2: Outcome A2 + B Outcome 1")</f>
        <v>1: Outcome A1 + B Outcome 2</v>
      </c>
    </row>
    <row r="28" customFormat="false" ht="15" hidden="false" customHeight="false" outlineLevel="0" collapsed="false">
      <c r="A28" s="0" t="s">
        <v>164</v>
      </c>
      <c r="B28" s="16" t="n">
        <f aca="false">IF(B18&lt;B23,B13*(1/B8)/(1/B8+1/E9),B13*(1/B9)/(1/B9+1/E8))</f>
        <v>452.926208651399</v>
      </c>
    </row>
    <row r="29" customFormat="false" ht="15" hidden="false" customHeight="false" outlineLevel="0" collapsed="false">
      <c r="A29" s="0" t="s">
        <v>165</v>
      </c>
      <c r="B29" s="16" t="n">
        <f aca="false">B13-B28</f>
        <v>547.073791348601</v>
      </c>
    </row>
    <row r="31" customFormat="false" ht="15" hidden="false" customHeight="false" outlineLevel="0" collapsed="false">
      <c r="A31" s="10" t="s">
        <v>166</v>
      </c>
      <c r="D31" s="10" t="s">
        <v>167</v>
      </c>
    </row>
    <row r="32" customFormat="false" ht="15" hidden="false" customHeight="false" outlineLevel="0" collapsed="false">
      <c r="A32" s="0" t="s">
        <v>168</v>
      </c>
      <c r="B32" s="16" t="n">
        <f aca="false">IF(B18&lt;B23,(B28*B8)*(1-B11)-B13,(B29*E8)*(1-E11)-B13)</f>
        <v>-26.2086513994911</v>
      </c>
      <c r="D32" s="0" t="s">
        <v>169</v>
      </c>
      <c r="E32" s="27" t="n">
        <f aca="false">IF(B18&lt;B23,B8,B9)</f>
        <v>2.15</v>
      </c>
    </row>
    <row r="33" customFormat="false" ht="15" hidden="false" customHeight="false" outlineLevel="0" collapsed="false">
      <c r="A33" s="0" t="s">
        <v>170</v>
      </c>
      <c r="B33" s="16" t="n">
        <f aca="false">IF(B18&lt;B23,(B29*E9)*(1-E11)-B13,(B28*B9)*(1-B11)-B13)</f>
        <v>-26.2086513994911</v>
      </c>
      <c r="D33" s="0" t="s">
        <v>171</v>
      </c>
      <c r="E33" s="27" t="n">
        <f aca="false">IF(B18&lt;B23,E9,E8)</f>
        <v>1.78</v>
      </c>
    </row>
    <row r="34" customFormat="false" ht="15" hidden="false" customHeight="false" outlineLevel="0" collapsed="false">
      <c r="A34" s="0" t="s">
        <v>172</v>
      </c>
      <c r="B34" s="28" t="n">
        <f aca="false">MIN(B32,B33)</f>
        <v>-26.2086513994911</v>
      </c>
      <c r="D34" s="0" t="s">
        <v>173</v>
      </c>
      <c r="E34" s="25" t="n">
        <f aca="false">ABS(MIN(B18,B23))</f>
        <v>0.0269140318787562</v>
      </c>
    </row>
    <row r="35" customFormat="false" ht="15" hidden="false" customHeight="false" outlineLevel="0" collapsed="false">
      <c r="A35" s="0" t="s">
        <v>174</v>
      </c>
      <c r="B35" s="29" t="n">
        <f aca="false">B34/B13</f>
        <v>-0.0262086513994911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5" min="2" style="0" width="15"/>
    <col collapsed="false" customWidth="true" hidden="false" outlineLevel="0" max="6" min="6" style="0" width="18"/>
  </cols>
  <sheetData>
    <row r="1" customFormat="false" ht="17.35" hidden="false" customHeight="false" outlineLevel="0" collapsed="false">
      <c r="A1" s="7" t="s">
        <v>175</v>
      </c>
      <c r="B1" s="7"/>
      <c r="C1" s="7"/>
      <c r="D1" s="7"/>
      <c r="E1" s="7"/>
      <c r="F1" s="7"/>
      <c r="G1" s="7"/>
    </row>
    <row r="2" customFormat="false" ht="26.85" hidden="false" customHeight="false" outlineLevel="0" collapsed="false">
      <c r="A2" s="2" t="s">
        <v>0</v>
      </c>
      <c r="B2" s="2" t="s">
        <v>8</v>
      </c>
      <c r="C2" s="2" t="s">
        <v>9</v>
      </c>
      <c r="D2" s="2" t="s">
        <v>176</v>
      </c>
      <c r="E2" s="2" t="s">
        <v>177</v>
      </c>
      <c r="F2" s="2" t="s">
        <v>178</v>
      </c>
    </row>
    <row r="3" customFormat="false" ht="15" hidden="false" customHeight="false" outlineLevel="0" collapsed="false">
      <c r="A3" s="30" t="s">
        <v>14</v>
      </c>
      <c r="B3" s="31" t="n">
        <v>0</v>
      </c>
      <c r="C3" s="31" t="n">
        <v>0</v>
      </c>
      <c r="D3" s="31" t="n">
        <v>0</v>
      </c>
      <c r="E3" s="31" t="n">
        <v>0</v>
      </c>
      <c r="F3" s="32" t="n">
        <f aca="false">1000*(B3/100+C3/100+D3/100+E3/100)</f>
        <v>0</v>
      </c>
    </row>
    <row r="4" customFormat="false" ht="15" hidden="false" customHeight="false" outlineLevel="0" collapsed="false">
      <c r="A4" s="33" t="s">
        <v>22</v>
      </c>
      <c r="B4" s="34" t="n">
        <v>0</v>
      </c>
      <c r="C4" s="34" t="n">
        <v>0</v>
      </c>
      <c r="D4" s="34" t="n">
        <v>0</v>
      </c>
      <c r="E4" s="34" t="n">
        <v>0</v>
      </c>
      <c r="F4" s="35" t="n">
        <f aca="false">1000*(B4/100+C4/100+D4/100+E4/100)</f>
        <v>0</v>
      </c>
    </row>
    <row r="5" customFormat="false" ht="15" hidden="false" customHeight="false" outlineLevel="0" collapsed="false">
      <c r="A5" s="30" t="s">
        <v>26</v>
      </c>
      <c r="B5" s="31" t="n">
        <v>0</v>
      </c>
      <c r="C5" s="31" t="n">
        <v>0</v>
      </c>
      <c r="D5" s="31" t="n">
        <v>0</v>
      </c>
      <c r="E5" s="31" t="n">
        <v>0</v>
      </c>
      <c r="F5" s="32" t="n">
        <f aca="false">1000*(B5/100+C5/100+D5/100+E5/100)</f>
        <v>0</v>
      </c>
    </row>
    <row r="6" customFormat="false" ht="15" hidden="false" customHeight="false" outlineLevel="0" collapsed="false">
      <c r="A6" s="33" t="s">
        <v>29</v>
      </c>
      <c r="B6" s="34" t="n">
        <v>0</v>
      </c>
      <c r="C6" s="34" t="n">
        <v>0</v>
      </c>
      <c r="D6" s="34" t="n">
        <v>0</v>
      </c>
      <c r="E6" s="34" t="n">
        <v>0</v>
      </c>
      <c r="F6" s="35" t="n">
        <f aca="false">1000*(B6/100+C6/100+D6/100+E6/100)</f>
        <v>0</v>
      </c>
    </row>
    <row r="7" customFormat="false" ht="15" hidden="false" customHeight="false" outlineLevel="0" collapsed="false">
      <c r="A7" s="30" t="s">
        <v>32</v>
      </c>
      <c r="B7" s="31" t="n">
        <v>0</v>
      </c>
      <c r="C7" s="31" t="n">
        <v>0</v>
      </c>
      <c r="D7" s="31" t="n">
        <v>0</v>
      </c>
      <c r="E7" s="31" t="n">
        <v>0</v>
      </c>
      <c r="F7" s="32" t="n">
        <f aca="false">1000*(B7/100+C7/100+D7/100+E7/100)</f>
        <v>0</v>
      </c>
    </row>
    <row r="8" customFormat="false" ht="15" hidden="false" customHeight="false" outlineLevel="0" collapsed="false">
      <c r="A8" s="33" t="s">
        <v>35</v>
      </c>
      <c r="B8" s="34" t="n">
        <v>0</v>
      </c>
      <c r="C8" s="34" t="n">
        <v>0</v>
      </c>
      <c r="D8" s="34" t="n">
        <v>0</v>
      </c>
      <c r="E8" s="34" t="n">
        <v>0</v>
      </c>
      <c r="F8" s="35" t="n">
        <f aca="false">1000*(B8/100+C8/100+D8/100+E8/100)</f>
        <v>0</v>
      </c>
    </row>
    <row r="9" customFormat="false" ht="15" hidden="false" customHeight="false" outlineLevel="0" collapsed="false">
      <c r="A9" s="30" t="s">
        <v>39</v>
      </c>
      <c r="B9" s="31" t="n">
        <v>0</v>
      </c>
      <c r="C9" s="31" t="n">
        <v>0</v>
      </c>
      <c r="D9" s="31" t="n">
        <v>0</v>
      </c>
      <c r="E9" s="31" t="n">
        <v>0</v>
      </c>
      <c r="F9" s="32" t="n">
        <f aca="false">1000*(B9/100+C9/100+D9/100+E9/100)</f>
        <v>0</v>
      </c>
    </row>
    <row r="10" customFormat="false" ht="15" hidden="false" customHeight="false" outlineLevel="0" collapsed="false">
      <c r="A10" s="33" t="s">
        <v>41</v>
      </c>
      <c r="B10" s="34" t="n">
        <v>0</v>
      </c>
      <c r="C10" s="34" t="n">
        <v>0</v>
      </c>
      <c r="D10" s="34" t="n">
        <v>0</v>
      </c>
      <c r="E10" s="34" t="n">
        <v>0</v>
      </c>
      <c r="F10" s="35" t="n">
        <f aca="false">1000*(B10/100+C10/100+D10/100+E10/100)</f>
        <v>0</v>
      </c>
    </row>
    <row r="11" customFormat="false" ht="15" hidden="false" customHeight="false" outlineLevel="0" collapsed="false">
      <c r="A11" s="30" t="s">
        <v>43</v>
      </c>
      <c r="B11" s="31" t="n">
        <v>0</v>
      </c>
      <c r="C11" s="31" t="n">
        <v>0</v>
      </c>
      <c r="D11" s="31" t="n">
        <v>0</v>
      </c>
      <c r="E11" s="31" t="n">
        <v>0</v>
      </c>
      <c r="F11" s="32" t="n">
        <f aca="false">1000*(B11/100+C11/100+D11/100+E11/100)</f>
        <v>0</v>
      </c>
    </row>
    <row r="12" customFormat="false" ht="15" hidden="false" customHeight="false" outlineLevel="0" collapsed="false">
      <c r="A12" s="33" t="s">
        <v>45</v>
      </c>
      <c r="B12" s="34" t="n">
        <v>0</v>
      </c>
      <c r="C12" s="34" t="n">
        <v>0</v>
      </c>
      <c r="D12" s="34" t="n">
        <v>0</v>
      </c>
      <c r="E12" s="34" t="n">
        <v>0</v>
      </c>
      <c r="F12" s="35" t="n">
        <f aca="false">1000*(B12/100+C12/100+D12/100+E12/100)</f>
        <v>0</v>
      </c>
    </row>
    <row r="13" customFormat="false" ht="15" hidden="false" customHeight="false" outlineLevel="0" collapsed="false">
      <c r="A13" s="30" t="s">
        <v>47</v>
      </c>
      <c r="B13" s="31" t="n">
        <v>0</v>
      </c>
      <c r="C13" s="31" t="n">
        <v>0</v>
      </c>
      <c r="D13" s="31" t="n">
        <v>0</v>
      </c>
      <c r="E13" s="31" t="n">
        <v>0</v>
      </c>
      <c r="F13" s="32" t="n">
        <f aca="false">1000*(B13/100+C13/100+D13/100+E13/100)</f>
        <v>0</v>
      </c>
    </row>
    <row r="14" customFormat="false" ht="15" hidden="false" customHeight="false" outlineLevel="0" collapsed="false">
      <c r="A14" s="33" t="s">
        <v>52</v>
      </c>
      <c r="B14" s="34" t="n">
        <v>0</v>
      </c>
      <c r="C14" s="34" t="n">
        <v>0</v>
      </c>
      <c r="D14" s="34" t="n">
        <v>0</v>
      </c>
      <c r="E14" s="34" t="n">
        <v>0</v>
      </c>
      <c r="F14" s="35" t="n">
        <f aca="false">1000*(B14/100+C14/100+D14/100+E14/100)</f>
        <v>0</v>
      </c>
    </row>
    <row r="15" customFormat="false" ht="15" hidden="false" customHeight="false" outlineLevel="0" collapsed="false">
      <c r="A15" s="30" t="s">
        <v>58</v>
      </c>
      <c r="B15" s="31" t="n">
        <v>0</v>
      </c>
      <c r="C15" s="31" t="n">
        <v>0</v>
      </c>
      <c r="D15" s="31" t="n">
        <v>0</v>
      </c>
      <c r="E15" s="31" t="n">
        <v>0</v>
      </c>
      <c r="F15" s="32" t="n">
        <f aca="false">1000*(B15/100+C15/100+D15/100+E15/100)</f>
        <v>0</v>
      </c>
    </row>
    <row r="16" customFormat="false" ht="15" hidden="false" customHeight="false" outlineLevel="0" collapsed="false">
      <c r="A16" s="33" t="s">
        <v>63</v>
      </c>
      <c r="B16" s="34" t="n">
        <v>0</v>
      </c>
      <c r="C16" s="34" t="n">
        <v>0</v>
      </c>
      <c r="D16" s="34" t="n">
        <v>0</v>
      </c>
      <c r="E16" s="34" t="n">
        <v>0</v>
      </c>
      <c r="F16" s="35" t="n">
        <f aca="false">1000*(B16/100+C16/100+D16/100+E16/100)</f>
        <v>0</v>
      </c>
    </row>
    <row r="17" customFormat="false" ht="15" hidden="false" customHeight="false" outlineLevel="0" collapsed="false">
      <c r="A17" s="30" t="s">
        <v>68</v>
      </c>
      <c r="B17" s="31" t="n">
        <v>0</v>
      </c>
      <c r="C17" s="31" t="n">
        <v>5</v>
      </c>
      <c r="D17" s="31" t="n">
        <v>0</v>
      </c>
      <c r="E17" s="31" t="n">
        <v>0</v>
      </c>
      <c r="F17" s="32" t="n">
        <f aca="false">1000*(B17/100+C17/100+D17/100+E17/100)</f>
        <v>50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0"/>
    <col collapsed="false" customWidth="true" hidden="false" outlineLevel="0" max="3" min="3" style="0" width="3"/>
    <col collapsed="false" customWidth="true" hidden="false" outlineLevel="0" max="4" min="4" style="0" width="35"/>
    <col collapsed="false" customWidth="true" hidden="false" outlineLevel="0" max="6" min="5" style="0" width="20"/>
  </cols>
  <sheetData>
    <row r="1" customFormat="false" ht="17.35" hidden="false" customHeight="false" outlineLevel="0" collapsed="false">
      <c r="A1" s="7" t="s">
        <v>179</v>
      </c>
      <c r="B1" s="7"/>
      <c r="C1" s="7"/>
      <c r="D1" s="7"/>
      <c r="E1" s="7"/>
      <c r="F1" s="7"/>
      <c r="G1" s="7"/>
    </row>
    <row r="3" customFormat="false" ht="15" hidden="false" customHeight="false" outlineLevel="0" collapsed="false">
      <c r="A3" s="10" t="s">
        <v>143</v>
      </c>
    </row>
    <row r="4" customFormat="false" ht="15" hidden="false" customHeight="false" outlineLevel="0" collapsed="false">
      <c r="A4" s="12" t="s">
        <v>144</v>
      </c>
      <c r="B4" s="14" t="s">
        <v>180</v>
      </c>
    </row>
    <row r="6" customFormat="false" ht="15" hidden="false" customHeight="false" outlineLevel="0" collapsed="false">
      <c r="A6" s="19" t="s">
        <v>181</v>
      </c>
      <c r="D6" s="20" t="s">
        <v>182</v>
      </c>
    </row>
    <row r="7" customFormat="false" ht="15" hidden="false" customHeight="false" outlineLevel="0" collapsed="false">
      <c r="A7" s="0" t="s">
        <v>148</v>
      </c>
      <c r="B7" s="14" t="s">
        <v>14</v>
      </c>
      <c r="D7" s="0" t="s">
        <v>149</v>
      </c>
      <c r="E7" s="14" t="s">
        <v>22</v>
      </c>
    </row>
    <row r="8" customFormat="false" ht="15" hidden="false" customHeight="false" outlineLevel="0" collapsed="false">
      <c r="A8" s="0" t="s">
        <v>183</v>
      </c>
      <c r="B8" s="21" t="n">
        <v>1.95</v>
      </c>
      <c r="D8" s="0" t="s">
        <v>184</v>
      </c>
      <c r="E8" s="21" t="n">
        <v>3.4</v>
      </c>
    </row>
    <row r="9" customFormat="false" ht="15" hidden="false" customHeight="false" outlineLevel="0" collapsed="false">
      <c r="A9" s="0" t="s">
        <v>152</v>
      </c>
      <c r="B9" s="22" t="n">
        <v>0</v>
      </c>
      <c r="D9" s="0" t="s">
        <v>152</v>
      </c>
      <c r="E9" s="22" t="n">
        <v>0</v>
      </c>
    </row>
    <row r="10" customFormat="false" ht="15" hidden="false" customHeight="false" outlineLevel="0" collapsed="false">
      <c r="A10" s="0" t="s">
        <v>153</v>
      </c>
      <c r="B10" s="22" t="n">
        <v>0</v>
      </c>
      <c r="D10" s="0" t="s">
        <v>153</v>
      </c>
      <c r="E10" s="22" t="n">
        <v>0</v>
      </c>
    </row>
    <row r="12" customFormat="false" ht="15" hidden="false" customHeight="false" outlineLevel="0" collapsed="false">
      <c r="A12" s="36" t="s">
        <v>185</v>
      </c>
    </row>
    <row r="13" customFormat="false" ht="15" hidden="false" customHeight="false" outlineLevel="0" collapsed="false">
      <c r="A13" s="0" t="s">
        <v>186</v>
      </c>
      <c r="B13" s="14" t="s">
        <v>26</v>
      </c>
    </row>
    <row r="14" customFormat="false" ht="15" hidden="false" customHeight="false" outlineLevel="0" collapsed="false">
      <c r="A14" s="0" t="s">
        <v>187</v>
      </c>
      <c r="B14" s="21" t="n">
        <v>2.05</v>
      </c>
    </row>
    <row r="15" customFormat="false" ht="15" hidden="false" customHeight="false" outlineLevel="0" collapsed="false">
      <c r="A15" s="0" t="s">
        <v>152</v>
      </c>
      <c r="B15" s="22" t="n">
        <v>0</v>
      </c>
    </row>
    <row r="16" customFormat="false" ht="15" hidden="false" customHeight="false" outlineLevel="0" collapsed="false">
      <c r="A16" s="0" t="s">
        <v>153</v>
      </c>
      <c r="B16" s="22" t="n">
        <v>0</v>
      </c>
    </row>
    <row r="18" customFormat="false" ht="15" hidden="false" customHeight="false" outlineLevel="0" collapsed="false">
      <c r="A18" s="15" t="s">
        <v>154</v>
      </c>
      <c r="B18" s="13" t="n">
        <v>1000</v>
      </c>
    </row>
    <row r="20" customFormat="false" ht="15" hidden="false" customHeight="false" outlineLevel="0" collapsed="false">
      <c r="A20" s="10" t="s">
        <v>155</v>
      </c>
    </row>
    <row r="21" customFormat="false" ht="15" hidden="false" customHeight="false" outlineLevel="0" collapsed="false">
      <c r="A21" s="0" t="s">
        <v>188</v>
      </c>
      <c r="B21" s="25" t="n">
        <f aca="false">1/B8+1/E8+1/B14</f>
        <v>1.29474303792812</v>
      </c>
    </row>
    <row r="22" customFormat="false" ht="15" hidden="false" customHeight="false" outlineLevel="0" collapsed="false">
      <c r="A22" s="0" t="s">
        <v>158</v>
      </c>
      <c r="B22" s="18" t="n">
        <f aca="false">B21-1</f>
        <v>0.294743037928117</v>
      </c>
    </row>
    <row r="23" customFormat="false" ht="15" hidden="false" customHeight="false" outlineLevel="0" collapsed="false">
      <c r="A23" s="0" t="s">
        <v>159</v>
      </c>
      <c r="B23" s="26" t="str">
        <f aca="false">IF(B22&lt;0,"YES - Opportunity","NO")</f>
        <v>NO</v>
      </c>
    </row>
    <row r="25" customFormat="false" ht="15" hidden="false" customHeight="false" outlineLevel="0" collapsed="false">
      <c r="A25" s="10" t="s">
        <v>189</v>
      </c>
    </row>
    <row r="26" customFormat="false" ht="15" hidden="false" customHeight="false" outlineLevel="0" collapsed="false">
      <c r="A26" s="0" t="s">
        <v>190</v>
      </c>
      <c r="B26" s="16" t="n">
        <f aca="false">B18*(1/B8)/(1/B8+1/E8+1/B14)</f>
        <v>396.078988492684</v>
      </c>
    </row>
    <row r="27" customFormat="false" ht="15" hidden="false" customHeight="false" outlineLevel="0" collapsed="false">
      <c r="A27" s="0" t="s">
        <v>191</v>
      </c>
      <c r="B27" s="16" t="n">
        <f aca="false">B18*(1/E8)/(1/B8+1/E8+1/B14)</f>
        <v>227.162949282569</v>
      </c>
    </row>
    <row r="28" customFormat="false" ht="15" hidden="false" customHeight="false" outlineLevel="0" collapsed="false">
      <c r="A28" s="0" t="s">
        <v>192</v>
      </c>
      <c r="B28" s="16" t="n">
        <f aca="false">B18*(1/B14)/(1/B8+1/E8+1/B14)</f>
        <v>376.758062224748</v>
      </c>
    </row>
    <row r="29" customFormat="false" ht="15" hidden="false" customHeight="false" outlineLevel="0" collapsed="false">
      <c r="A29" s="0" t="s">
        <v>193</v>
      </c>
      <c r="B29" s="37" t="n">
        <f aca="false">B26+B27+B28</f>
        <v>1000</v>
      </c>
    </row>
    <row r="31" customFormat="false" ht="15" hidden="false" customHeight="false" outlineLevel="0" collapsed="false">
      <c r="A31" s="10" t="s">
        <v>166</v>
      </c>
    </row>
    <row r="32" customFormat="false" ht="15" hidden="false" customHeight="false" outlineLevel="0" collapsed="false">
      <c r="A32" s="0" t="s">
        <v>168</v>
      </c>
      <c r="B32" s="16" t="n">
        <f aca="false">(B26*B8)*(1-B9)-B18</f>
        <v>-227.645972439267</v>
      </c>
    </row>
    <row r="33" customFormat="false" ht="15" hidden="false" customHeight="false" outlineLevel="0" collapsed="false">
      <c r="A33" s="0" t="s">
        <v>170</v>
      </c>
      <c r="B33" s="16" t="n">
        <f aca="false">(B27*E8)*(1-E9)-B18</f>
        <v>-227.645972439267</v>
      </c>
    </row>
    <row r="34" customFormat="false" ht="15" hidden="false" customHeight="false" outlineLevel="0" collapsed="false">
      <c r="A34" s="0" t="s">
        <v>194</v>
      </c>
      <c r="B34" s="16" t="n">
        <f aca="false">(B28*B14)*(1-B16)-B18</f>
        <v>-227.645972439267</v>
      </c>
    </row>
    <row r="36" customFormat="false" ht="15" hidden="false" customHeight="false" outlineLevel="0" collapsed="false">
      <c r="A36" s="0" t="s">
        <v>172</v>
      </c>
      <c r="B36" s="28" t="n">
        <f aca="false">MIN(B32,B33,B34)</f>
        <v>-227.645972439267</v>
      </c>
    </row>
    <row r="37" customFormat="false" ht="15" hidden="false" customHeight="false" outlineLevel="0" collapsed="false">
      <c r="A37" s="0" t="s">
        <v>174</v>
      </c>
      <c r="B37" s="29" t="n">
        <f aca="false">B36/B18</f>
        <v>-0.227645972439267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2026-03-01T06:49:58Z</dcterms:created>
  <dc:creator>openpyxl</dc:creator>
  <dc:description/>
  <dc:language>en-US</dc:language>
  <cp:lastModifiedBy/>
  <dcterms:modified xsi:type="dcterms:W3CDTF">2026-03-01T06:49:58Z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